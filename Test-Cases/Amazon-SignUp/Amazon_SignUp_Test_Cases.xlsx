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 Up Test Cases" sheetId="1" state="visible" r:id="rId3"/>
    <sheet name="Summary &amp; Assumptions" sheetId="2" state="visible" r:id="rId4"/>
  </sheets>
  <definedNames>
    <definedName function="false" hidden="true" localSheetId="0" name="_xlnm._FilterDatabase" vbProcedure="false">'Sign Up Test Cases'!$A$1:$H$65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<sst xmlns="http://schemas.openxmlformats.org/spreadsheetml/2006/main" count="549" uniqueCount="284">
  <si>
    <t xml:space="preserve">ID</t>
  </si>
  <si>
    <t xml:space="preserve">Field</t>
  </si>
  <si>
    <t xml:space="preserve">Type</t>
  </si>
  <si>
    <t xml:space="preserve">Priority</t>
  </si>
  <si>
    <t xml:space="preserve">Test Case Title</t>
  </si>
  <si>
    <t xml:space="preserve">Preconditions</t>
  </si>
  <si>
    <t xml:space="preserve">Steps</t>
  </si>
  <si>
    <t xml:space="preserve">Expected Result</t>
  </si>
  <si>
    <t xml:space="preserve">TC-01</t>
  </si>
  <si>
    <t xml:space="preserve">First Name</t>
  </si>
  <si>
    <t xml:space="preserve">Boundary</t>
  </si>
  <si>
    <t xml:space="preserve">High</t>
  </si>
  <si>
    <t xml:space="preserve">Sign Up form: First Name field accepts input when entering 1 character</t>
  </si>
  <si>
    <t xml:space="preserve">Sign Up page is opened</t>
  </si>
  <si>
    <t xml:space="preserve">1. Enter 1 character into First Name field (e.g. 'A')
2. Fill all other fields with valid values
3. Click Continue</t>
  </si>
  <si>
    <t xml:space="preserve">Form accepts the value; no validation message is shown for First Name</t>
  </si>
  <si>
    <t xml:space="preserve">TC-02</t>
  </si>
  <si>
    <t xml:space="preserve">Sign Up form: First Name field accepts input when entering 64 characters</t>
  </si>
  <si>
    <t xml:space="preserve">1. Enter a string of exactly 64 characters into First Name field
2. Fill all other fields with valid values
3. Click Continue</t>
  </si>
  <si>
    <t xml:space="preserve">Form accepts the value</t>
  </si>
  <si>
    <t xml:space="preserve">TC-03</t>
  </si>
  <si>
    <t xml:space="preserve">Sign Up form: First Name field rejects input when entering 65 characters</t>
  </si>
  <si>
    <t xml:space="preserve">1. Enter a string of 65 characters into First Name field
2. Fill all other fields with valid values
3. Click Continue</t>
  </si>
  <si>
    <t xml:space="preserve">Form blocks submission and shows a max-length validation message</t>
  </si>
  <si>
    <t xml:space="preserve">TC-04</t>
  </si>
  <si>
    <t xml:space="preserve">Sign Up form: First Name field rejects submission when field is left empty</t>
  </si>
  <si>
    <t xml:space="preserve">1. Leave First Name field empty
2. Fill all other fields with valid values
3. Click Continue</t>
  </si>
  <si>
    <t xml:space="preserve">Form blocks submission and shows a required-field validation message</t>
  </si>
  <si>
    <t xml:space="preserve">TC-05</t>
  </si>
  <si>
    <t xml:space="preserve">Positive</t>
  </si>
  <si>
    <t xml:space="preserve">Medium</t>
  </si>
  <si>
    <t xml:space="preserve">Sign Up form: First Name field accepts input when entering only letters</t>
  </si>
  <si>
    <t xml:space="preserve">1. Enter a value consisting only of letters (e.g. 'Michael')
2. Fill all other fields with valid values
3. Click Continue</t>
  </si>
  <si>
    <t xml:space="preserve">TC-06</t>
  </si>
  <si>
    <t xml:space="preserve">Sign Up form: First Name field accepts input when entering only numbers</t>
  </si>
  <si>
    <t xml:space="preserve">1. Enter a value consisting only of digits (e.g. '123456')
2. Fill all other fields with valid values
3. Click Continue</t>
  </si>
  <si>
    <t xml:space="preserve">Form accepts the value, as digits are allowed per specification</t>
  </si>
  <si>
    <t xml:space="preserve">TC-07</t>
  </si>
  <si>
    <t xml:space="preserve">Sign Up form: First Name field accepts input when entering only special characters</t>
  </si>
  <si>
    <t xml:space="preserve">1. Enter a value consisting only of special characters (e.g. '@#$%')
2. Fill all other fields with valid values
3. Click Continue</t>
  </si>
  <si>
    <t xml:space="preserve">Form accepts the value, as special characters are allowed per specification</t>
  </si>
  <si>
    <t xml:space="preserve">TC-08</t>
  </si>
  <si>
    <t xml:space="preserve">Sign Up form: First Name field accepts input when entering a combination of letters, numbers and special characters</t>
  </si>
  <si>
    <t xml:space="preserve">1. Enter a mixed value (e.g. 'Anna_2024!')
2. Fill all other fields with valid values
3. Click Continue</t>
  </si>
  <si>
    <t xml:space="preserve">TC-09</t>
  </si>
  <si>
    <t xml:space="preserve">Low</t>
  </si>
  <si>
    <t xml:space="preserve">Sign Up form: First Name field trims leading and trailing spaces</t>
  </si>
  <si>
    <t xml:space="preserve">1. Enter a value with spaces before and after the text (e.g. '  Anna  ')
2. Fill all other fields with valid values
3. Click Continue</t>
  </si>
  <si>
    <t xml:space="preserve">Leading and trailing spaces are removed automatically and the trimmed value is stored</t>
  </si>
  <si>
    <t xml:space="preserve">TC-10</t>
  </si>
  <si>
    <t xml:space="preserve">Negative</t>
  </si>
  <si>
    <t xml:space="preserve">Sign Up form: First Name field treats whitespace-only input as empty</t>
  </si>
  <si>
    <t xml:space="preserve">1. Enter only space characters into First Name field
2. Fill all other fields with valid values
3. Click Continue</t>
  </si>
  <si>
    <t xml:space="preserve">Form treats the value as empty and blocks submission with a required-field message</t>
  </si>
  <si>
    <t xml:space="preserve">TC-11</t>
  </si>
  <si>
    <t xml:space="preserve">Sign Up form: First Name field behavior when entering a SQL injection string</t>
  </si>
  <si>
    <t xml:space="preserve">1. Enter a value such as "' OR '1'='1" into First Name field
2. Fill all other fields with valid values
3. Click Continue</t>
  </si>
  <si>
    <t xml:space="preserve">Input is stored/escaped as plain text; no database error is exposed and no unintended query execution occurs</t>
  </si>
  <si>
    <t xml:space="preserve">TC-12</t>
  </si>
  <si>
    <t xml:space="preserve">Sign Up form: First Name field behavior when entering a script tag</t>
  </si>
  <si>
    <t xml:space="preserve">1. Enter a value such as '&lt;script&gt;alert(1)&lt;/script&gt;' into First Name field
2. Fill all other fields with valid values
3. Click Continue</t>
  </si>
  <si>
    <t xml:space="preserve">Input is rendered as plain text/escaped; no script executes on the page</t>
  </si>
  <si>
    <t xml:space="preserve">TC-13</t>
  </si>
  <si>
    <t xml:space="preserve">Sign Up form: First Name field accepts input when entering non-English letters</t>
  </si>
  <si>
    <r>
      <rPr>
        <sz val="10"/>
        <rFont val="Arial"/>
        <family val="0"/>
        <charset val="1"/>
      </rPr>
      <t xml:space="preserve">1. Enter a value using a non-Latin alphabet (e.g. Georgian 'გიორგი', Russian 'Анна', or Chinese '</t>
    </r>
    <r>
      <rPr>
        <sz val="10"/>
        <rFont val="Noto Sans CJK SC"/>
        <family val="2"/>
      </rPr>
      <t xml:space="preserve">伟</t>
    </r>
    <r>
      <rPr>
        <sz val="10"/>
        <rFont val="Arial"/>
        <family val="0"/>
        <charset val="1"/>
      </rPr>
      <t xml:space="preserve">')
2. Fill all other fields with valid values
3. Click Continue</t>
    </r>
  </si>
  <si>
    <t xml:space="preserve">Form accepts the value, or shows a clear validation message if non-Latin letters are not supported (open question - see Summary sheet)</t>
  </si>
  <si>
    <t xml:space="preserve">TC-14</t>
  </si>
  <si>
    <t xml:space="preserve">Last Name</t>
  </si>
  <si>
    <t xml:space="preserve">Sign Up form: Last Name field accepts input when entering 1 character</t>
  </si>
  <si>
    <t xml:space="preserve">1. Enter 1 character into Last Name field (e.g. 'K')
2. Fill all other fields with valid values
3. Click Continue</t>
  </si>
  <si>
    <t xml:space="preserve">Form accepts the value; no validation message is shown for Last Name</t>
  </si>
  <si>
    <t xml:space="preserve">TC-15</t>
  </si>
  <si>
    <t xml:space="preserve">Sign Up form: Last Name field accepts input when entering 64 characters</t>
  </si>
  <si>
    <t xml:space="preserve">1. Enter a string of exactly 64 characters into Last Name field
2. Fill all other fields with valid values
3. Click Continue</t>
  </si>
  <si>
    <t xml:space="preserve">TC-16</t>
  </si>
  <si>
    <t xml:space="preserve">Sign Up form: Last Name field rejects input when entering 65 characters</t>
  </si>
  <si>
    <t xml:space="preserve">1. Enter a string of 65 characters into Last Name field
2. Fill all other fields with valid values
3. Click Continue</t>
  </si>
  <si>
    <t xml:space="preserve">TC-17</t>
  </si>
  <si>
    <t xml:space="preserve">Sign Up form: Last Name field rejects submission when field is left empty</t>
  </si>
  <si>
    <t xml:space="preserve">1. Leave Last Name field empty
2. Fill all other fields with valid values
3. Click Continue</t>
  </si>
  <si>
    <t xml:space="preserve">TC-18</t>
  </si>
  <si>
    <t xml:space="preserve">Sign Up form: Last Name field accepts input when entering a combination of numbers and special characters only</t>
  </si>
  <si>
    <t xml:space="preserve">1. Enter a value such as '2024_#7'
2. Fill all other fields with valid values
3. Click Continue</t>
  </si>
  <si>
    <t xml:space="preserve">Form accepts the value, as digits and special characters are allowed per specification</t>
  </si>
  <si>
    <t xml:space="preserve">TC-19</t>
  </si>
  <si>
    <t xml:space="preserve">Sign Up form: Last Name field trims leading and trailing spaces</t>
  </si>
  <si>
    <t xml:space="preserve">1. Enter a value with spaces before and after the text (e.g. '  Petrov  ')
2. Fill all other fields with valid values
3. Click Continue</t>
  </si>
  <si>
    <t xml:space="preserve">TC-20</t>
  </si>
  <si>
    <t xml:space="preserve">Sign Up form: Last Name field behavior when entering emoji characters</t>
  </si>
  <si>
    <t xml:space="preserve">1. Enter a value containing an emoji (e.g. 'Smith😊')
2. Fill all other fields with valid values
3. Click Continue</t>
  </si>
  <si>
    <t xml:space="preserve">Form either accepts or rejects consistently with First Name field rules and does not break page rendering</t>
  </si>
  <si>
    <t xml:space="preserve">TC-21</t>
  </si>
  <si>
    <t xml:space="preserve">Sign Up form: Last Name field accepts input when entering non-English letters</t>
  </si>
  <si>
    <r>
      <rPr>
        <sz val="10"/>
        <rFont val="Arial"/>
        <family val="0"/>
        <charset val="1"/>
      </rPr>
      <t xml:space="preserve">1. Enter a value using a non-Latin alphabet (e.g. Georgian 'ბერიძე', Russian 'Иванова', or Chinese '</t>
    </r>
    <r>
      <rPr>
        <sz val="10"/>
        <rFont val="Noto Sans CJK SC"/>
        <family val="2"/>
      </rPr>
      <t xml:space="preserve">王</t>
    </r>
    <r>
      <rPr>
        <sz val="10"/>
        <rFont val="Arial"/>
        <family val="0"/>
        <charset val="1"/>
      </rPr>
      <t xml:space="preserve">')
2. Fill all other fields with valid values
3. Click Continue</t>
    </r>
  </si>
  <si>
    <t xml:space="preserve">TC-22</t>
  </si>
  <si>
    <t xml:space="preserve">Sign Up form: Last Name field behavior when entering a SQL injection string</t>
  </si>
  <si>
    <t xml:space="preserve">1. Enter a value such as "' OR '1'='1" into Last Name field
2. Fill all other fields with valid values
3. Click Continue</t>
  </si>
  <si>
    <t xml:space="preserve">TC-23</t>
  </si>
  <si>
    <t xml:space="preserve">Sign Up form: Last Name field behavior when entering a script tag</t>
  </si>
  <si>
    <t xml:space="preserve">1. Enter a value such as '&lt;script&gt;alert(1)&lt;/script&gt;' into Last Name field
2. Fill all other fields with valid values
3. Click Continue</t>
  </si>
  <si>
    <t xml:space="preserve">TC-24</t>
  </si>
  <si>
    <t xml:space="preserve">Mobile Number or Email</t>
  </si>
  <si>
    <t xml:space="preserve">Sign Up form: Mobile Number or Email field accepts input when entering 5 characters</t>
  </si>
  <si>
    <t xml:space="preserve">1. Enter a 5-character value (e.g. 'a@b.c') into Mobile/Email field
2. Fill all other fields with valid values
3. Click Continue</t>
  </si>
  <si>
    <t xml:space="preserve">Form accepts the value; no length validation message is shown</t>
  </si>
  <si>
    <t xml:space="preserve">TC-25</t>
  </si>
  <si>
    <t xml:space="preserve">Sign Up form: Mobile Number or Email field accepts input when entering 256 characters</t>
  </si>
  <si>
    <t xml:space="preserve">1. Enter a value of exactly 256 characters into Mobile/Email field
2. Fill all other fields with valid values
3. Click Continue</t>
  </si>
  <si>
    <t xml:space="preserve">TC-26</t>
  </si>
  <si>
    <t xml:space="preserve">Sign Up form: Mobile Number or Email field rejects input when entering 257 characters</t>
  </si>
  <si>
    <t xml:space="preserve">1. Enter a value of 257 characters into Mobile/Email field
2. Fill all other fields with valid values
3. Click Continue</t>
  </si>
  <si>
    <t xml:space="preserve">TC-27</t>
  </si>
  <si>
    <t xml:space="preserve">Sign Up form: Mobile Number or Email field rejects input when entering 4 characters</t>
  </si>
  <si>
    <t xml:space="preserve">1. Enter a 4-character value into Mobile/Email field
2. Fill all other fields with valid values
3. Click Continue</t>
  </si>
  <si>
    <t xml:space="preserve">Form blocks submission and shows a min-length validation message</t>
  </si>
  <si>
    <t xml:space="preserve">TC-28</t>
  </si>
  <si>
    <t xml:space="preserve">Sign Up form: Mobile Number or Email field rejects submission when field is left empty</t>
  </si>
  <si>
    <t xml:space="preserve">1. Leave Mobile/Email field empty
2. Fill all other fields with valid values
3. Click Continue</t>
  </si>
  <si>
    <t xml:space="preserve">TC-29</t>
  </si>
  <si>
    <t xml:space="preserve">Sign Up form: Mobile Number or Email field accepts input when entering a standard email format</t>
  </si>
  <si>
    <t xml:space="preserve">1. Enter a standard email address (e.g. 'testuser2026@example.com')
2. Fill all other fields with valid values
3. Click Continue</t>
  </si>
  <si>
    <t xml:space="preserve">Form accepts the value and proceeds with registration</t>
  </si>
  <si>
    <t xml:space="preserve">TC-30</t>
  </si>
  <si>
    <t xml:space="preserve">Sign Up form: Mobile Number or Email field accepts input when entering a mobile number with country code</t>
  </si>
  <si>
    <t xml:space="preserve">1. Enter a mobile number with country code (e.g. '+995555123456')
2. Fill all other fields with valid values
3. Click Continue</t>
  </si>
  <si>
    <t xml:space="preserve">TC-31</t>
  </si>
  <si>
    <t xml:space="preserve">Sign Up form: Mobile Number or Email field accepts input when entering an email without the @ symbol</t>
  </si>
  <si>
    <t xml:space="preserve">1. Enter a value such as 'testuserexample.com'
2. Fill all other fields with valid values
3. Click Continue</t>
  </si>
  <si>
    <t xml:space="preserve">Form accepts the value, since any type of characters is allowed per specification, and no email-format validation is applied</t>
  </si>
  <si>
    <t xml:space="preserve">TC-32</t>
  </si>
  <si>
    <t xml:space="preserve">Sign Up form: Mobile Number or Email field accepts input when entering a mobile number with letters mixed in</t>
  </si>
  <si>
    <t xml:space="preserve">1. Enter a value such as '555abc1234'
2. Fill all other fields with valid values
3. Click Continue</t>
  </si>
  <si>
    <t xml:space="preserve">Form accepts the value, since any type of characters is allowed per specification</t>
  </si>
  <si>
    <t xml:space="preserve">TC-33</t>
  </si>
  <si>
    <t xml:space="preserve">Sign Up form: Mobile Number or Email field behavior when entering an already registered account value</t>
  </si>
  <si>
    <t xml:space="preserve">An account already exists with the given email/mobile number</t>
  </si>
  <si>
    <t xml:space="preserve">1. Enter the email/mobile number of an existing account
2. Fill all other fields with valid values
3. Click Continue</t>
  </si>
  <si>
    <t xml:space="preserve">Form blocks submission and informs the user the account already exists</t>
  </si>
  <si>
    <t xml:space="preserve">TC-34</t>
  </si>
  <si>
    <t xml:space="preserve">Sign Up form: Mobile Number or Email field behavior when pasting text containing line breaks</t>
  </si>
  <si>
    <t xml:space="preserve">A multi-line string is copied to clipboard</t>
  </si>
  <si>
    <t xml:space="preserve">1. Paste the copied multi-line string into the field
2. Fill all other fields with valid values
3. Click Continue</t>
  </si>
  <si>
    <t xml:space="preserve">Line breaks are stripped or the field rejects the paste without breaking the page layout</t>
  </si>
  <si>
    <t xml:space="preserve">TC-35</t>
  </si>
  <si>
    <t xml:space="preserve">Sign Up form: Mobile Number or Email field accepts input when entering special characters only</t>
  </si>
  <si>
    <t xml:space="preserve">1. Enter a value such as '#$%^&amp;*()'
2. Fill all other fields with valid values
3. Click Continue</t>
  </si>
  <si>
    <t xml:space="preserve">Form accepts the value, as any characters are allowed per specification</t>
  </si>
  <si>
    <t xml:space="preserve">TC-36</t>
  </si>
  <si>
    <t xml:space="preserve">Sign Up form: Mobile Number or Email field behavior when entering a SQL injection string</t>
  </si>
  <si>
    <t xml:space="preserve">1. Enter a value such as "' OR '1'='1" into Mobile/Email field
2. Fill all other fields with valid values
3. Click Continue</t>
  </si>
  <si>
    <t xml:space="preserve">TC-37</t>
  </si>
  <si>
    <t xml:space="preserve">Sign Up form: Mobile Number or Email field behavior when entering a script tag</t>
  </si>
  <si>
    <t xml:space="preserve">1. Enter a value such as '&lt;script&gt;alert(1)&lt;/script&gt;' into Mobile/Email field
2. Fill all other fields with valid values
3. Click Continue</t>
  </si>
  <si>
    <t xml:space="preserve">TC-38</t>
  </si>
  <si>
    <t xml:space="preserve">Password</t>
  </si>
  <si>
    <t xml:space="preserve">Sign Up form: Password field accepts input when entering 8 characters</t>
  </si>
  <si>
    <t xml:space="preserve">1. Enter an 8-character password combining letters and numbers (e.g. 'Abcdef12')
2. Enter the same value in Re-enter Password
3. Fill all other fields with valid values
4. Click Continue</t>
  </si>
  <si>
    <t xml:space="preserve">Form accepts the password</t>
  </si>
  <si>
    <t xml:space="preserve">TC-39</t>
  </si>
  <si>
    <t xml:space="preserve">Sign Up form: Password field accepts input when entering 16 characters</t>
  </si>
  <si>
    <t xml:space="preserve">1. Enter a 16-character password combining letters and punctuation (e.g. 'Abcdefgh!!!!!!!!')
2. Enter the same value in Re-enter Password
3. Fill all other fields with valid values
4. Click Continue</t>
  </si>
  <si>
    <t xml:space="preserve">TC-40</t>
  </si>
  <si>
    <t xml:space="preserve">Sign Up form: Password field rejects input when entering 7 characters</t>
  </si>
  <si>
    <t xml:space="preserve">1. Enter a 7-character password
2. Match it in Re-enter Password
3. Fill all other fields with valid values
4. Click Continue</t>
  </si>
  <si>
    <t xml:space="preserve">TC-41</t>
  </si>
  <si>
    <t xml:space="preserve">Sign Up form: Password field rejects input when entering 17 characters</t>
  </si>
  <si>
    <t xml:space="preserve">1. Enter a 17-character password
2. Match it in Re-enter Password
3. Fill all other fields with valid values
4. Click Continue</t>
  </si>
  <si>
    <t xml:space="preserve">TC-42</t>
  </si>
  <si>
    <t xml:space="preserve">Sign Up form: Password field rejects input when entering only letters</t>
  </si>
  <si>
    <t xml:space="preserve">1. Enter a password consisting only of letters, 8-16 characters (e.g. 'AbcdEfgh')
2. Match it in Re-enter Password
3. Fill all other fields with valid values
4. Click Continue</t>
  </si>
  <si>
    <t xml:space="preserve">Form blocks submission, since a single character type is not enough - at least two of letters/numbers/punctuation are required</t>
  </si>
  <si>
    <t xml:space="preserve">TC-43</t>
  </si>
  <si>
    <t xml:space="preserve">Sign Up form: Password field rejects input when entering only numbers</t>
  </si>
  <si>
    <t xml:space="preserve">1. Enter a password consisting only of digits, 8-16 characters (e.g. '12345678')
2. Match it in Re-enter Password
3. Fill all other fields with valid values
4. Click Continue</t>
  </si>
  <si>
    <t xml:space="preserve">Form blocks submission, since a single character type is not enough</t>
  </si>
  <si>
    <t xml:space="preserve">TC-44</t>
  </si>
  <si>
    <t xml:space="preserve">Sign Up form: Password field rejects input when entering only punctuation marks</t>
  </si>
  <si>
    <t xml:space="preserve">1. Enter a password consisting only of punctuation marks, 8-16 characters (e.g. '!!!!!!!!')
2. Match it in Re-enter Password
3. Fill all other fields with valid values
4. Click Continue</t>
  </si>
  <si>
    <t xml:space="preserve">TC-45</t>
  </si>
  <si>
    <t xml:space="preserve">Sign Up form: Password field accepts input when entering letters and numbers combined, without punctuation</t>
  </si>
  <si>
    <t xml:space="preserve">1. Enter a password such as 'Passw0rd1'
2. Match it in Re-enter Password
3. Fill all other fields with valid values
4. Click Continue</t>
  </si>
  <si>
    <t xml:space="preserve">Form accepts the password, since any two of the three character types is sufficient</t>
  </si>
  <si>
    <t xml:space="preserve">TC-46</t>
  </si>
  <si>
    <t xml:space="preserve">Sign Up form: Password field accepts input when entering letters and punctuation combined, without numbers</t>
  </si>
  <si>
    <t xml:space="preserve">1. Enter a password such as 'Password!!'
2. Match it in Re-enter Password
3. Fill all other fields with valid values
4. Click Continue</t>
  </si>
  <si>
    <t xml:space="preserve">TC-47</t>
  </si>
  <si>
    <t xml:space="preserve">Sign Up form: Password field accepts input when entering numbers and punctuation combined, without letters</t>
  </si>
  <si>
    <t xml:space="preserve">1. Enter a password such as '12345678!!'
2. Match it in Re-enter Password
3. Fill all other fields with valid values
4. Click Continue</t>
  </si>
  <si>
    <t xml:space="preserve">TC-48</t>
  </si>
  <si>
    <t xml:space="preserve">Sign Up form: Password field accepts input when entering a combination of letters, numbers and multiple punctuation marks</t>
  </si>
  <si>
    <t xml:space="preserve">1. Enter a password such as 'Ab1!Cd2&amp;Ef3#'
2. Match it in Re-enter Password
3. Fill all other fields with valid values
4. Click Continue</t>
  </si>
  <si>
    <t xml:space="preserve">Form accepts the password, as any punctuation marks are allowed per specification</t>
  </si>
  <si>
    <t xml:space="preserve">TC-49</t>
  </si>
  <si>
    <t xml:space="preserve">Sign Up form: Password field trims leading and trailing spaces before validation</t>
  </si>
  <si>
    <t xml:space="preserve">1. Enter a password with a leading and trailing space (e.g. ' Passw0rd! ')
2. Match the trimmed value in Re-enter Password
3. Fill all other fields with valid values
4. Click Continue</t>
  </si>
  <si>
    <t xml:space="preserve">Leading and trailing spaces are trimmed and the remaining value is validated against the length and character rules</t>
  </si>
  <si>
    <t xml:space="preserve">TC-50</t>
  </si>
  <si>
    <t xml:space="preserve">Sign Up form: Password field behavior when a space character is entered in the middle of the password</t>
  </si>
  <si>
    <t xml:space="preserve">1. Enter a password with a space in the middle (e.g. 'Pass word1')
2. Match it exactly in Re-enter Password
3. Fill all other fields with valid values
4. Click Continue</t>
  </si>
  <si>
    <t xml:space="preserve">Form behavior is verified against the actual rule (open question: whether a middle space is allowed, and if allowed, whether it counts as a valid character type; see Summary sheet)</t>
  </si>
  <si>
    <t xml:space="preserve">TC-51</t>
  </si>
  <si>
    <t xml:space="preserve">Sign Up form: Password field behavior when entering emoji or non-English characters</t>
  </si>
  <si>
    <t xml:space="preserve">1. Enter a password containing emoji or non-Latin letters (e.g. 'Passw0rd😊' or 'Пароль1!')
2. Match it in Re-enter Password
3. Fill all other fields with valid values
4. Click Continue</t>
  </si>
  <si>
    <t xml:space="preserve">Form either accepts or rejects consistently (open question: whether emoji/non-Latin characters count as valid letters; see Summary sheet)</t>
  </si>
  <si>
    <t xml:space="preserve">TC-52</t>
  </si>
  <si>
    <t xml:space="preserve">Sign Up form: Password field behavior when entering a SQL injection string</t>
  </si>
  <si>
    <t xml:space="preserve">1. Enter a value such as "' OR '1'='1" into the Password field
2. Match it in Re-enter Password
3. Fill all other fields with valid values
4. Click Continue</t>
  </si>
  <si>
    <t xml:space="preserve">TC-53</t>
  </si>
  <si>
    <t xml:space="preserve">Sign Up form: Password field behavior when entering a script tag</t>
  </si>
  <si>
    <t xml:space="preserve">1. Enter a value such as '&lt;script&gt;alert(1)&lt;/script&gt;' into the Password field
2. Match it in Re-enter Password
3. Fill all other fields with valid values
4. Click Continue</t>
  </si>
  <si>
    <t xml:space="preserve">Input is rendered as plain text/escaped and treated as a regular password string; no script executes on the page</t>
  </si>
  <si>
    <t xml:space="preserve">TC-54</t>
  </si>
  <si>
    <t xml:space="preserve">Sign Up form: Password field masks entered characters</t>
  </si>
  <si>
    <t xml:space="preserve">1. Enter any valid password into the Password field
2. Observe the field content</t>
  </si>
  <si>
    <t xml:space="preserve">Entered characters are displayed as masked dots/asterisks by default</t>
  </si>
  <si>
    <t xml:space="preserve">TC-55</t>
  </si>
  <si>
    <t xml:space="preserve">Re-enter Password</t>
  </si>
  <si>
    <t xml:space="preserve">Sign Up form: submission proceeds when Re-enter Password matches Password exactly</t>
  </si>
  <si>
    <t xml:space="preserve">1. Enter a valid password in Password field
2. Enter the identical value in Re-enter Password field
3. Fill all other fields with valid values
4. Click Continue</t>
  </si>
  <si>
    <t xml:space="preserve">Form accepts both fields and registration proceeds</t>
  </si>
  <si>
    <t xml:space="preserve">TC-56</t>
  </si>
  <si>
    <t xml:space="preserve">Sign Up form: submission is blocked when Re-enter Password does not match Password</t>
  </si>
  <si>
    <t xml:space="preserve">1. Enter a valid password in Password field
2. Enter a different valid value in Re-enter Password field
3. Fill all other fields with valid values
4. Click Continue</t>
  </si>
  <si>
    <t xml:space="preserve">Form blocks submission and shows a 'passwords do not match' validation message</t>
  </si>
  <si>
    <t xml:space="preserve">TC-57</t>
  </si>
  <si>
    <t xml:space="preserve">Sign Up form: submission is blocked when Re-enter Password is left empty</t>
  </si>
  <si>
    <t xml:space="preserve">1. Enter a valid password in Password field
2. Leave Re-enter Password field empty
3. Fill all other fields with valid values
4. Click Continue</t>
  </si>
  <si>
    <t xml:space="preserve">TC-58</t>
  </si>
  <si>
    <t xml:space="preserve">Sign Up form: submission is blocked when Re-enter Password differs from Password only in letter case</t>
  </si>
  <si>
    <t xml:space="preserve">1. Enter 'Passw0rd!' in Password field
2. Enter 'passw0rd!' (different case) in Re-enter Password field
3. Fill all other fields with valid values
4. Click Continue</t>
  </si>
  <si>
    <t xml:space="preserve">Form treats the values as non-matching (case-sensitive comparison) and blocks submission with a mismatch message</t>
  </si>
  <si>
    <t xml:space="preserve">TC-59</t>
  </si>
  <si>
    <t xml:space="preserve">Sign Up form: Re-enter Password field masks entered characters</t>
  </si>
  <si>
    <t xml:space="preserve">1. Enter any value into the Re-enter Password field
2. Observe the field content</t>
  </si>
  <si>
    <t xml:space="preserve">TC-60</t>
  </si>
  <si>
    <t xml:space="preserve">Full Form</t>
  </si>
  <si>
    <t xml:space="preserve">Sign Up form: registration proceeds when all fields are filled with minimum boundary values</t>
  </si>
  <si>
    <t xml:space="preserve">1. Enter 1-character First Name, 1-character Last Name, 5-character Mobile/Email, 8-character valid Password, matching Re-enter Password
2. Click Continue</t>
  </si>
  <si>
    <t xml:space="preserve">Form accepts all values and registration proceeds</t>
  </si>
  <si>
    <t xml:space="preserve">TC-61</t>
  </si>
  <si>
    <t xml:space="preserve">Sign Up form: registration proceeds when all fields are filled with maximum boundary values</t>
  </si>
  <si>
    <t xml:space="preserve">1. Enter 64-character First Name, 64-character Last Name, 256-character Mobile/Email, 16-character valid Password, matching Re-enter Password
2. Click Continue</t>
  </si>
  <si>
    <t xml:space="preserve">TC-62</t>
  </si>
  <si>
    <t xml:space="preserve">Sign Up form: registration is blocked when multiple required fields are left empty simultaneously</t>
  </si>
  <si>
    <t xml:space="preserve">1. Leave First Name and Password fields empty, fill the remaining fields with valid values
2. Click Continue</t>
  </si>
  <si>
    <t xml:space="preserve">Form blocks submission and shows validation messages for both empty fields</t>
  </si>
  <si>
    <t xml:space="preserve">TC-63</t>
  </si>
  <si>
    <t xml:space="preserve">Sign Up form: registration is blocked when all fields exceed their maximum length at the same time</t>
  </si>
  <si>
    <t xml:space="preserve">1. Enter a 65-character First Name, 65-character Last Name, 257-character Mobile/Email, and 17-character Password (with matching Re-enter Password)
2. Click Continue</t>
  </si>
  <si>
    <t xml:space="preserve">Form blocks submission and shows a max-length validation message for every field that exceeds its limit, without crashing or freezing the page</t>
  </si>
  <si>
    <t xml:space="preserve">TC-64</t>
  </si>
  <si>
    <t xml:space="preserve">Sign Up form: page layout renders correctly when viewed at a mobile viewport width</t>
  </si>
  <si>
    <t xml:space="preserve">Sign Up page is opened on a device/emulator with mobile screen width</t>
  </si>
  <si>
    <t xml:space="preserve">1. Resize browser/open form on a mobile viewport
2. Inspect all fields and the Continue button</t>
  </si>
  <si>
    <t xml:space="preserve">All fields and controls remain visible, aligned and usable without overlapping content</t>
  </si>
  <si>
    <t xml:space="preserve">Amazon Sign Up Form — Test Coverage Summary</t>
  </si>
  <si>
    <t xml:space="preserve">Metric</t>
  </si>
  <si>
    <t xml:space="preserve">Value</t>
  </si>
  <si>
    <t xml:space="preserve">Total test cases</t>
  </si>
  <si>
    <t xml:space="preserve">First Name field cases</t>
  </si>
  <si>
    <t xml:space="preserve">Last Name field cases</t>
  </si>
  <si>
    <t xml:space="preserve">Mobile Number / Email field cases</t>
  </si>
  <si>
    <t xml:space="preserve">Password field cases</t>
  </si>
  <si>
    <t xml:space="preserve">Re-enter Password field cases</t>
  </si>
  <si>
    <t xml:space="preserve">Full form / cross-field cases</t>
  </si>
  <si>
    <t xml:space="preserve">Boundary cases</t>
  </si>
  <si>
    <t xml:space="preserve">Positive cases</t>
  </si>
  <si>
    <t xml:space="preserve">Negative cases</t>
  </si>
  <si>
    <t xml:space="preserve">Specification rules applied</t>
  </si>
  <si>
    <t xml:space="preserve">- Form structure: single-page form with all fields together (per spec), not the real site's multi-step flow.</t>
  </si>
  <si>
    <t xml:space="preserve">- Name field is tested as two separate fields, First Name and Last Name, both following the same rule: letters + numbers + special characters, min 1 / max 64.</t>
  </si>
  <si>
    <t xml:space="preserve">- Password length: 8-16 characters (per spec), not the real site's 'at least 6' rule.</t>
  </si>
  <si>
    <t xml:space="preserve">- Password character rule: any punctuation mark is allowed (not limited to ! and &amp;).</t>
  </si>
  <si>
    <t xml:space="preserve">- Password composition rule: any two of the three character types (letters, numbers, punctuation) is sufficient; all three are not required together.</t>
  </si>
  <si>
    <t xml:space="preserve">- Leading/trailing spaces in Name and Password fields are trimmed automatically, not rejected.</t>
  </si>
  <si>
    <t xml:space="preserve">- Re-enter Password field is in scope and covered with dedicated test cases.</t>
  </si>
  <si>
    <t xml:space="preserve">- Mobile Number or Email: any type of characters allowed, min 5 / max 256 - no email-format validation is expected; malformed-looking values are treated as Positive/accepted cases, not Negative.</t>
  </si>
  <si>
    <t xml:space="preserve">Open questions (to clarify with the product owner)</t>
  </si>
  <si>
    <t xml:space="preserve">- TC-13 / TC-21: are non-Latin letters (Georgian, Cyrillic, Chinese) allowed in First Name and Last Name?</t>
  </si>
  <si>
    <t xml:space="preserve">- TC-20: are emoji allowed in name fields?</t>
  </si>
  <si>
    <t xml:space="preserve">- TC-50: is a space allowed in the middle of the password, and does it count as a character type?</t>
  </si>
  <si>
    <t xml:space="preserve">- TC-51: do emoji or non-Latin letters count as valid 'letters' in the password?</t>
  </si>
  <si>
    <t xml:space="preserve">Note: test design exercise based on a written specification of the Amazon Sign Up form;</t>
  </si>
  <si>
    <t xml:space="preserve">the cases were not executed against the live Amazon website.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</si>
</sst>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32F3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46"/>
    <col collapsed="false" customWidth="true" hidden="false" outlineLevel="0" max="6" min="6" style="0" width="26"/>
    <col collapsed="false" customWidth="true" hidden="false" outlineLevel="0" max="8" min="7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57.7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57.75" hidden="false" customHeight="true" outlineLevel="0" collapsed="false">
      <c r="A3" s="2" t="s">
        <v>16</v>
      </c>
      <c r="B3" s="2" t="s">
        <v>9</v>
      </c>
      <c r="C3" s="2" t="s">
        <v>10</v>
      </c>
      <c r="D3" s="2" t="s">
        <v>11</v>
      </c>
      <c r="E3" s="2" t="s">
        <v>17</v>
      </c>
      <c r="F3" s="2" t="s">
        <v>13</v>
      </c>
      <c r="G3" s="2" t="s">
        <v>18</v>
      </c>
      <c r="H3" s="2" t="s">
        <v>19</v>
      </c>
    </row>
    <row r="4" customFormat="false" ht="57.75" hidden="false" customHeight="true" outlineLevel="0" collapsed="false">
      <c r="A4" s="2" t="s">
        <v>20</v>
      </c>
      <c r="B4" s="2" t="s">
        <v>9</v>
      </c>
      <c r="C4" s="2" t="s">
        <v>10</v>
      </c>
      <c r="D4" s="2" t="s">
        <v>11</v>
      </c>
      <c r="E4" s="2" t="s">
        <v>21</v>
      </c>
      <c r="F4" s="2" t="s">
        <v>13</v>
      </c>
      <c r="G4" s="2" t="s">
        <v>22</v>
      </c>
      <c r="H4" s="2" t="s">
        <v>23</v>
      </c>
    </row>
    <row r="5" customFormat="false" ht="57.75" hidden="false" customHeight="true" outlineLevel="0" collapsed="false">
      <c r="A5" s="2" t="s">
        <v>24</v>
      </c>
      <c r="B5" s="2" t="s">
        <v>9</v>
      </c>
      <c r="C5" s="2" t="s">
        <v>10</v>
      </c>
      <c r="D5" s="2" t="s">
        <v>11</v>
      </c>
      <c r="E5" s="2" t="s">
        <v>25</v>
      </c>
      <c r="F5" s="2" t="s">
        <v>13</v>
      </c>
      <c r="G5" s="2" t="s">
        <v>26</v>
      </c>
      <c r="H5" s="2" t="s">
        <v>27</v>
      </c>
    </row>
    <row r="6" customFormat="false" ht="57.75" hidden="false" customHeight="true" outlineLevel="0" collapsed="false">
      <c r="A6" s="3" t="s">
        <v>28</v>
      </c>
      <c r="B6" s="3" t="s">
        <v>9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32</v>
      </c>
      <c r="H6" s="3" t="s">
        <v>19</v>
      </c>
    </row>
    <row r="7" customFormat="false" ht="57.75" hidden="false" customHeight="true" outlineLevel="0" collapsed="false">
      <c r="A7" s="3" t="s">
        <v>33</v>
      </c>
      <c r="B7" s="3" t="s">
        <v>9</v>
      </c>
      <c r="C7" s="3" t="s">
        <v>29</v>
      </c>
      <c r="D7" s="3" t="s">
        <v>30</v>
      </c>
      <c r="E7" s="3" t="s">
        <v>34</v>
      </c>
      <c r="F7" s="3" t="s">
        <v>13</v>
      </c>
      <c r="G7" s="3" t="s">
        <v>35</v>
      </c>
      <c r="H7" s="3" t="s">
        <v>36</v>
      </c>
    </row>
    <row r="8" customFormat="false" ht="57.75" hidden="false" customHeight="true" outlineLevel="0" collapsed="false">
      <c r="A8" s="3" t="s">
        <v>37</v>
      </c>
      <c r="B8" s="3" t="s">
        <v>9</v>
      </c>
      <c r="C8" s="3" t="s">
        <v>29</v>
      </c>
      <c r="D8" s="3" t="s">
        <v>30</v>
      </c>
      <c r="E8" s="3" t="s">
        <v>38</v>
      </c>
      <c r="F8" s="3" t="s">
        <v>13</v>
      </c>
      <c r="G8" s="3" t="s">
        <v>39</v>
      </c>
      <c r="H8" s="3" t="s">
        <v>40</v>
      </c>
    </row>
    <row r="9" customFormat="false" ht="57.75" hidden="false" customHeight="true" outlineLevel="0" collapsed="false">
      <c r="A9" s="3" t="s">
        <v>41</v>
      </c>
      <c r="B9" s="3" t="s">
        <v>9</v>
      </c>
      <c r="C9" s="3" t="s">
        <v>29</v>
      </c>
      <c r="D9" s="3" t="s">
        <v>30</v>
      </c>
      <c r="E9" s="3" t="s">
        <v>42</v>
      </c>
      <c r="F9" s="3" t="s">
        <v>13</v>
      </c>
      <c r="G9" s="3" t="s">
        <v>43</v>
      </c>
      <c r="H9" s="3" t="s">
        <v>19</v>
      </c>
    </row>
    <row r="10" customFormat="false" ht="57.75" hidden="false" customHeight="true" outlineLevel="0" collapsed="false">
      <c r="A10" s="3" t="s">
        <v>44</v>
      </c>
      <c r="B10" s="3" t="s">
        <v>9</v>
      </c>
      <c r="C10" s="3" t="s">
        <v>29</v>
      </c>
      <c r="D10" s="3" t="s">
        <v>45</v>
      </c>
      <c r="E10" s="3" t="s">
        <v>46</v>
      </c>
      <c r="F10" s="3" t="s">
        <v>13</v>
      </c>
      <c r="G10" s="3" t="s">
        <v>47</v>
      </c>
      <c r="H10" s="3" t="s">
        <v>48</v>
      </c>
    </row>
    <row r="11" customFormat="false" ht="57.75" hidden="false" customHeight="true" outlineLevel="0" collapsed="false">
      <c r="A11" s="4" t="s">
        <v>49</v>
      </c>
      <c r="B11" s="4" t="s">
        <v>9</v>
      </c>
      <c r="C11" s="4" t="s">
        <v>50</v>
      </c>
      <c r="D11" s="4" t="s">
        <v>45</v>
      </c>
      <c r="E11" s="4" t="s">
        <v>51</v>
      </c>
      <c r="F11" s="4" t="s">
        <v>13</v>
      </c>
      <c r="G11" s="4" t="s">
        <v>52</v>
      </c>
      <c r="H11" s="4" t="s">
        <v>53</v>
      </c>
    </row>
    <row r="12" customFormat="false" ht="57.75" hidden="false" customHeight="true" outlineLevel="0" collapsed="false">
      <c r="A12" s="4" t="s">
        <v>54</v>
      </c>
      <c r="B12" s="4" t="s">
        <v>9</v>
      </c>
      <c r="C12" s="4" t="s">
        <v>50</v>
      </c>
      <c r="D12" s="4" t="s">
        <v>11</v>
      </c>
      <c r="E12" s="4" t="s">
        <v>55</v>
      </c>
      <c r="F12" s="4" t="s">
        <v>13</v>
      </c>
      <c r="G12" s="4" t="s">
        <v>56</v>
      </c>
      <c r="H12" s="4" t="s">
        <v>57</v>
      </c>
    </row>
    <row r="13" customFormat="false" ht="57.75" hidden="false" customHeight="true" outlineLevel="0" collapsed="false">
      <c r="A13" s="4" t="s">
        <v>58</v>
      </c>
      <c r="B13" s="4" t="s">
        <v>9</v>
      </c>
      <c r="C13" s="4" t="s">
        <v>50</v>
      </c>
      <c r="D13" s="4" t="s">
        <v>11</v>
      </c>
      <c r="E13" s="4" t="s">
        <v>59</v>
      </c>
      <c r="F13" s="4" t="s">
        <v>13</v>
      </c>
      <c r="G13" s="4" t="s">
        <v>60</v>
      </c>
      <c r="H13" s="4" t="s">
        <v>61</v>
      </c>
    </row>
    <row r="14" customFormat="false" ht="57.75" hidden="false" customHeight="true" outlineLevel="0" collapsed="false">
      <c r="A14" s="3" t="s">
        <v>62</v>
      </c>
      <c r="B14" s="3" t="s">
        <v>9</v>
      </c>
      <c r="C14" s="3" t="s">
        <v>29</v>
      </c>
      <c r="D14" s="3" t="s">
        <v>30</v>
      </c>
      <c r="E14" s="3" t="s">
        <v>63</v>
      </c>
      <c r="F14" s="3" t="s">
        <v>13</v>
      </c>
      <c r="G14" s="3" t="s">
        <v>64</v>
      </c>
      <c r="H14" s="3" t="s">
        <v>65</v>
      </c>
    </row>
    <row r="15" customFormat="false" ht="57.75" hidden="false" customHeight="true" outlineLevel="0" collapsed="false">
      <c r="A15" s="2" t="s">
        <v>66</v>
      </c>
      <c r="B15" s="2" t="s">
        <v>67</v>
      </c>
      <c r="C15" s="2" t="s">
        <v>10</v>
      </c>
      <c r="D15" s="2" t="s">
        <v>11</v>
      </c>
      <c r="E15" s="2" t="s">
        <v>68</v>
      </c>
      <c r="F15" s="2" t="s">
        <v>13</v>
      </c>
      <c r="G15" s="2" t="s">
        <v>69</v>
      </c>
      <c r="H15" s="2" t="s">
        <v>70</v>
      </c>
    </row>
    <row r="16" customFormat="false" ht="57.75" hidden="false" customHeight="true" outlineLevel="0" collapsed="false">
      <c r="A16" s="2" t="s">
        <v>71</v>
      </c>
      <c r="B16" s="2" t="s">
        <v>67</v>
      </c>
      <c r="C16" s="2" t="s">
        <v>10</v>
      </c>
      <c r="D16" s="2" t="s">
        <v>11</v>
      </c>
      <c r="E16" s="2" t="s">
        <v>72</v>
      </c>
      <c r="F16" s="2" t="s">
        <v>13</v>
      </c>
      <c r="G16" s="2" t="s">
        <v>73</v>
      </c>
      <c r="H16" s="2" t="s">
        <v>19</v>
      </c>
    </row>
    <row r="17" customFormat="false" ht="57.75" hidden="false" customHeight="true" outlineLevel="0" collapsed="false">
      <c r="A17" s="2" t="s">
        <v>74</v>
      </c>
      <c r="B17" s="2" t="s">
        <v>67</v>
      </c>
      <c r="C17" s="2" t="s">
        <v>10</v>
      </c>
      <c r="D17" s="2" t="s">
        <v>11</v>
      </c>
      <c r="E17" s="2" t="s">
        <v>75</v>
      </c>
      <c r="F17" s="2" t="s">
        <v>13</v>
      </c>
      <c r="G17" s="2" t="s">
        <v>76</v>
      </c>
      <c r="H17" s="2" t="s">
        <v>23</v>
      </c>
    </row>
    <row r="18" customFormat="false" ht="57.75" hidden="false" customHeight="true" outlineLevel="0" collapsed="false">
      <c r="A18" s="2" t="s">
        <v>77</v>
      </c>
      <c r="B18" s="2" t="s">
        <v>67</v>
      </c>
      <c r="C18" s="2" t="s">
        <v>10</v>
      </c>
      <c r="D18" s="2" t="s">
        <v>11</v>
      </c>
      <c r="E18" s="2" t="s">
        <v>78</v>
      </c>
      <c r="F18" s="2" t="s">
        <v>13</v>
      </c>
      <c r="G18" s="2" t="s">
        <v>79</v>
      </c>
      <c r="H18" s="2" t="s">
        <v>27</v>
      </c>
    </row>
    <row r="19" customFormat="false" ht="57.75" hidden="false" customHeight="true" outlineLevel="0" collapsed="false">
      <c r="A19" s="3" t="s">
        <v>80</v>
      </c>
      <c r="B19" s="3" t="s">
        <v>67</v>
      </c>
      <c r="C19" s="3" t="s">
        <v>29</v>
      </c>
      <c r="D19" s="3" t="s">
        <v>30</v>
      </c>
      <c r="E19" s="3" t="s">
        <v>81</v>
      </c>
      <c r="F19" s="3" t="s">
        <v>13</v>
      </c>
      <c r="G19" s="3" t="s">
        <v>82</v>
      </c>
      <c r="H19" s="3" t="s">
        <v>83</v>
      </c>
    </row>
    <row r="20" customFormat="false" ht="57.75" hidden="false" customHeight="true" outlineLevel="0" collapsed="false">
      <c r="A20" s="3" t="s">
        <v>84</v>
      </c>
      <c r="B20" s="3" t="s">
        <v>67</v>
      </c>
      <c r="C20" s="3" t="s">
        <v>29</v>
      </c>
      <c r="D20" s="3" t="s">
        <v>45</v>
      </c>
      <c r="E20" s="3" t="s">
        <v>85</v>
      </c>
      <c r="F20" s="3" t="s">
        <v>13</v>
      </c>
      <c r="G20" s="3" t="s">
        <v>86</v>
      </c>
      <c r="H20" s="3" t="s">
        <v>48</v>
      </c>
    </row>
    <row r="21" customFormat="false" ht="57.75" hidden="false" customHeight="true" outlineLevel="0" collapsed="false">
      <c r="A21" s="4" t="s">
        <v>87</v>
      </c>
      <c r="B21" s="4" t="s">
        <v>67</v>
      </c>
      <c r="C21" s="4" t="s">
        <v>50</v>
      </c>
      <c r="D21" s="4" t="s">
        <v>30</v>
      </c>
      <c r="E21" s="4" t="s">
        <v>88</v>
      </c>
      <c r="F21" s="4" t="s">
        <v>13</v>
      </c>
      <c r="G21" s="4" t="s">
        <v>89</v>
      </c>
      <c r="H21" s="4" t="s">
        <v>90</v>
      </c>
    </row>
    <row r="22" customFormat="false" ht="57.75" hidden="false" customHeight="true" outlineLevel="0" collapsed="false">
      <c r="A22" s="3" t="s">
        <v>91</v>
      </c>
      <c r="B22" s="3" t="s">
        <v>67</v>
      </c>
      <c r="C22" s="3" t="s">
        <v>29</v>
      </c>
      <c r="D22" s="3" t="s">
        <v>30</v>
      </c>
      <c r="E22" s="3" t="s">
        <v>92</v>
      </c>
      <c r="F22" s="3" t="s">
        <v>13</v>
      </c>
      <c r="G22" s="3" t="s">
        <v>93</v>
      </c>
      <c r="H22" s="3" t="s">
        <v>65</v>
      </c>
    </row>
    <row r="23" customFormat="false" ht="57.75" hidden="false" customHeight="true" outlineLevel="0" collapsed="false">
      <c r="A23" s="4" t="s">
        <v>94</v>
      </c>
      <c r="B23" s="4" t="s">
        <v>67</v>
      </c>
      <c r="C23" s="4" t="s">
        <v>50</v>
      </c>
      <c r="D23" s="4" t="s">
        <v>11</v>
      </c>
      <c r="E23" s="4" t="s">
        <v>95</v>
      </c>
      <c r="F23" s="4" t="s">
        <v>13</v>
      </c>
      <c r="G23" s="4" t="s">
        <v>96</v>
      </c>
      <c r="H23" s="4" t="s">
        <v>57</v>
      </c>
    </row>
    <row r="24" customFormat="false" ht="57.75" hidden="false" customHeight="true" outlineLevel="0" collapsed="false">
      <c r="A24" s="4" t="s">
        <v>97</v>
      </c>
      <c r="B24" s="4" t="s">
        <v>67</v>
      </c>
      <c r="C24" s="4" t="s">
        <v>50</v>
      </c>
      <c r="D24" s="4" t="s">
        <v>11</v>
      </c>
      <c r="E24" s="4" t="s">
        <v>98</v>
      </c>
      <c r="F24" s="4" t="s">
        <v>13</v>
      </c>
      <c r="G24" s="4" t="s">
        <v>99</v>
      </c>
      <c r="H24" s="4" t="s">
        <v>61</v>
      </c>
    </row>
    <row r="25" customFormat="false" ht="57.75" hidden="false" customHeight="true" outlineLevel="0" collapsed="false">
      <c r="A25" s="2" t="s">
        <v>100</v>
      </c>
      <c r="B25" s="2" t="s">
        <v>101</v>
      </c>
      <c r="C25" s="2" t="s">
        <v>10</v>
      </c>
      <c r="D25" s="2" t="s">
        <v>11</v>
      </c>
      <c r="E25" s="2" t="s">
        <v>102</v>
      </c>
      <c r="F25" s="2" t="s">
        <v>13</v>
      </c>
      <c r="G25" s="2" t="s">
        <v>103</v>
      </c>
      <c r="H25" s="2" t="s">
        <v>104</v>
      </c>
    </row>
    <row r="26" customFormat="false" ht="57.75" hidden="false" customHeight="true" outlineLevel="0" collapsed="false">
      <c r="A26" s="2" t="s">
        <v>105</v>
      </c>
      <c r="B26" s="2" t="s">
        <v>101</v>
      </c>
      <c r="C26" s="2" t="s">
        <v>10</v>
      </c>
      <c r="D26" s="2" t="s">
        <v>11</v>
      </c>
      <c r="E26" s="2" t="s">
        <v>106</v>
      </c>
      <c r="F26" s="2" t="s">
        <v>13</v>
      </c>
      <c r="G26" s="2" t="s">
        <v>107</v>
      </c>
      <c r="H26" s="2" t="s">
        <v>19</v>
      </c>
    </row>
    <row r="27" customFormat="false" ht="57.75" hidden="false" customHeight="true" outlineLevel="0" collapsed="false">
      <c r="A27" s="2" t="s">
        <v>108</v>
      </c>
      <c r="B27" s="2" t="s">
        <v>101</v>
      </c>
      <c r="C27" s="2" t="s">
        <v>10</v>
      </c>
      <c r="D27" s="2" t="s">
        <v>11</v>
      </c>
      <c r="E27" s="2" t="s">
        <v>109</v>
      </c>
      <c r="F27" s="2" t="s">
        <v>13</v>
      </c>
      <c r="G27" s="2" t="s">
        <v>110</v>
      </c>
      <c r="H27" s="2" t="s">
        <v>23</v>
      </c>
    </row>
    <row r="28" customFormat="false" ht="57.75" hidden="false" customHeight="true" outlineLevel="0" collapsed="false">
      <c r="A28" s="2" t="s">
        <v>111</v>
      </c>
      <c r="B28" s="2" t="s">
        <v>101</v>
      </c>
      <c r="C28" s="2" t="s">
        <v>10</v>
      </c>
      <c r="D28" s="2" t="s">
        <v>11</v>
      </c>
      <c r="E28" s="2" t="s">
        <v>112</v>
      </c>
      <c r="F28" s="2" t="s">
        <v>13</v>
      </c>
      <c r="G28" s="2" t="s">
        <v>113</v>
      </c>
      <c r="H28" s="2" t="s">
        <v>114</v>
      </c>
    </row>
    <row r="29" customFormat="false" ht="57.75" hidden="false" customHeight="true" outlineLevel="0" collapsed="false">
      <c r="A29" s="2" t="s">
        <v>115</v>
      </c>
      <c r="B29" s="2" t="s">
        <v>101</v>
      </c>
      <c r="C29" s="2" t="s">
        <v>10</v>
      </c>
      <c r="D29" s="2" t="s">
        <v>11</v>
      </c>
      <c r="E29" s="2" t="s">
        <v>116</v>
      </c>
      <c r="F29" s="2" t="s">
        <v>13</v>
      </c>
      <c r="G29" s="2" t="s">
        <v>117</v>
      </c>
      <c r="H29" s="2" t="s">
        <v>27</v>
      </c>
    </row>
    <row r="30" customFormat="false" ht="57.75" hidden="false" customHeight="true" outlineLevel="0" collapsed="false">
      <c r="A30" s="3" t="s">
        <v>118</v>
      </c>
      <c r="B30" s="3" t="s">
        <v>101</v>
      </c>
      <c r="C30" s="3" t="s">
        <v>29</v>
      </c>
      <c r="D30" s="3" t="s">
        <v>11</v>
      </c>
      <c r="E30" s="3" t="s">
        <v>119</v>
      </c>
      <c r="F30" s="3" t="s">
        <v>13</v>
      </c>
      <c r="G30" s="3" t="s">
        <v>120</v>
      </c>
      <c r="H30" s="3" t="s">
        <v>121</v>
      </c>
    </row>
    <row r="31" customFormat="false" ht="57.75" hidden="false" customHeight="true" outlineLevel="0" collapsed="false">
      <c r="A31" s="3" t="s">
        <v>122</v>
      </c>
      <c r="B31" s="3" t="s">
        <v>101</v>
      </c>
      <c r="C31" s="3" t="s">
        <v>29</v>
      </c>
      <c r="D31" s="3" t="s">
        <v>11</v>
      </c>
      <c r="E31" s="3" t="s">
        <v>123</v>
      </c>
      <c r="F31" s="3" t="s">
        <v>13</v>
      </c>
      <c r="G31" s="3" t="s">
        <v>124</v>
      </c>
      <c r="H31" s="3" t="s">
        <v>121</v>
      </c>
    </row>
    <row r="32" customFormat="false" ht="57.75" hidden="false" customHeight="true" outlineLevel="0" collapsed="false">
      <c r="A32" s="3" t="s">
        <v>125</v>
      </c>
      <c r="B32" s="3" t="s">
        <v>101</v>
      </c>
      <c r="C32" s="3" t="s">
        <v>29</v>
      </c>
      <c r="D32" s="3" t="s">
        <v>30</v>
      </c>
      <c r="E32" s="3" t="s">
        <v>126</v>
      </c>
      <c r="F32" s="3" t="s">
        <v>13</v>
      </c>
      <c r="G32" s="3" t="s">
        <v>127</v>
      </c>
      <c r="H32" s="3" t="s">
        <v>128</v>
      </c>
    </row>
    <row r="33" customFormat="false" ht="57.75" hidden="false" customHeight="true" outlineLevel="0" collapsed="false">
      <c r="A33" s="3" t="s">
        <v>129</v>
      </c>
      <c r="B33" s="3" t="s">
        <v>101</v>
      </c>
      <c r="C33" s="3" t="s">
        <v>29</v>
      </c>
      <c r="D33" s="3" t="s">
        <v>30</v>
      </c>
      <c r="E33" s="3" t="s">
        <v>130</v>
      </c>
      <c r="F33" s="3" t="s">
        <v>13</v>
      </c>
      <c r="G33" s="3" t="s">
        <v>131</v>
      </c>
      <c r="H33" s="3" t="s">
        <v>132</v>
      </c>
    </row>
    <row r="34" customFormat="false" ht="57.75" hidden="false" customHeight="true" outlineLevel="0" collapsed="false">
      <c r="A34" s="4" t="s">
        <v>133</v>
      </c>
      <c r="B34" s="4" t="s">
        <v>101</v>
      </c>
      <c r="C34" s="4" t="s">
        <v>50</v>
      </c>
      <c r="D34" s="4" t="s">
        <v>11</v>
      </c>
      <c r="E34" s="4" t="s">
        <v>134</v>
      </c>
      <c r="F34" s="4" t="s">
        <v>135</v>
      </c>
      <c r="G34" s="4" t="s">
        <v>136</v>
      </c>
      <c r="H34" s="4" t="s">
        <v>137</v>
      </c>
    </row>
    <row r="35" customFormat="false" ht="57.75" hidden="false" customHeight="true" outlineLevel="0" collapsed="false">
      <c r="A35" s="4" t="s">
        <v>138</v>
      </c>
      <c r="B35" s="4" t="s">
        <v>101</v>
      </c>
      <c r="C35" s="4" t="s">
        <v>50</v>
      </c>
      <c r="D35" s="4" t="s">
        <v>45</v>
      </c>
      <c r="E35" s="4" t="s">
        <v>139</v>
      </c>
      <c r="F35" s="4" t="s">
        <v>140</v>
      </c>
      <c r="G35" s="4" t="s">
        <v>141</v>
      </c>
      <c r="H35" s="4" t="s">
        <v>142</v>
      </c>
    </row>
    <row r="36" customFormat="false" ht="57.75" hidden="false" customHeight="true" outlineLevel="0" collapsed="false">
      <c r="A36" s="3" t="s">
        <v>143</v>
      </c>
      <c r="B36" s="3" t="s">
        <v>101</v>
      </c>
      <c r="C36" s="3" t="s">
        <v>29</v>
      </c>
      <c r="D36" s="3" t="s">
        <v>45</v>
      </c>
      <c r="E36" s="3" t="s">
        <v>144</v>
      </c>
      <c r="F36" s="3" t="s">
        <v>13</v>
      </c>
      <c r="G36" s="3" t="s">
        <v>145</v>
      </c>
      <c r="H36" s="3" t="s">
        <v>146</v>
      </c>
    </row>
    <row r="37" customFormat="false" ht="57.75" hidden="false" customHeight="true" outlineLevel="0" collapsed="false">
      <c r="A37" s="4" t="s">
        <v>147</v>
      </c>
      <c r="B37" s="4" t="s">
        <v>101</v>
      </c>
      <c r="C37" s="4" t="s">
        <v>50</v>
      </c>
      <c r="D37" s="4" t="s">
        <v>11</v>
      </c>
      <c r="E37" s="4" t="s">
        <v>148</v>
      </c>
      <c r="F37" s="4" t="s">
        <v>13</v>
      </c>
      <c r="G37" s="4" t="s">
        <v>149</v>
      </c>
      <c r="H37" s="4" t="s">
        <v>57</v>
      </c>
    </row>
    <row r="38" customFormat="false" ht="57.75" hidden="false" customHeight="true" outlineLevel="0" collapsed="false">
      <c r="A38" s="4" t="s">
        <v>150</v>
      </c>
      <c r="B38" s="4" t="s">
        <v>101</v>
      </c>
      <c r="C38" s="4" t="s">
        <v>50</v>
      </c>
      <c r="D38" s="4" t="s">
        <v>11</v>
      </c>
      <c r="E38" s="4" t="s">
        <v>151</v>
      </c>
      <c r="F38" s="4" t="s">
        <v>13</v>
      </c>
      <c r="G38" s="4" t="s">
        <v>152</v>
      </c>
      <c r="H38" s="4" t="s">
        <v>61</v>
      </c>
    </row>
    <row r="39" customFormat="false" ht="57.75" hidden="false" customHeight="true" outlineLevel="0" collapsed="false">
      <c r="A39" s="2" t="s">
        <v>153</v>
      </c>
      <c r="B39" s="2" t="s">
        <v>154</v>
      </c>
      <c r="C39" s="2" t="s">
        <v>10</v>
      </c>
      <c r="D39" s="2" t="s">
        <v>11</v>
      </c>
      <c r="E39" s="2" t="s">
        <v>155</v>
      </c>
      <c r="F39" s="2" t="s">
        <v>13</v>
      </c>
      <c r="G39" s="2" t="s">
        <v>156</v>
      </c>
      <c r="H39" s="2" t="s">
        <v>157</v>
      </c>
    </row>
    <row r="40" customFormat="false" ht="57.75" hidden="false" customHeight="true" outlineLevel="0" collapsed="false">
      <c r="A40" s="2" t="s">
        <v>158</v>
      </c>
      <c r="B40" s="2" t="s">
        <v>154</v>
      </c>
      <c r="C40" s="2" t="s">
        <v>10</v>
      </c>
      <c r="D40" s="2" t="s">
        <v>11</v>
      </c>
      <c r="E40" s="2" t="s">
        <v>159</v>
      </c>
      <c r="F40" s="2" t="s">
        <v>13</v>
      </c>
      <c r="G40" s="2" t="s">
        <v>160</v>
      </c>
      <c r="H40" s="2" t="s">
        <v>157</v>
      </c>
    </row>
    <row r="41" customFormat="false" ht="57.75" hidden="false" customHeight="true" outlineLevel="0" collapsed="false">
      <c r="A41" s="2" t="s">
        <v>161</v>
      </c>
      <c r="B41" s="2" t="s">
        <v>154</v>
      </c>
      <c r="C41" s="2" t="s">
        <v>10</v>
      </c>
      <c r="D41" s="2" t="s">
        <v>11</v>
      </c>
      <c r="E41" s="2" t="s">
        <v>162</v>
      </c>
      <c r="F41" s="2" t="s">
        <v>13</v>
      </c>
      <c r="G41" s="2" t="s">
        <v>163</v>
      </c>
      <c r="H41" s="2" t="s">
        <v>114</v>
      </c>
    </row>
    <row r="42" customFormat="false" ht="57.75" hidden="false" customHeight="true" outlineLevel="0" collapsed="false">
      <c r="A42" s="2" t="s">
        <v>164</v>
      </c>
      <c r="B42" s="2" t="s">
        <v>154</v>
      </c>
      <c r="C42" s="2" t="s">
        <v>10</v>
      </c>
      <c r="D42" s="2" t="s">
        <v>11</v>
      </c>
      <c r="E42" s="2" t="s">
        <v>165</v>
      </c>
      <c r="F42" s="2" t="s">
        <v>13</v>
      </c>
      <c r="G42" s="2" t="s">
        <v>166</v>
      </c>
      <c r="H42" s="2" t="s">
        <v>23</v>
      </c>
    </row>
    <row r="43" customFormat="false" ht="57.75" hidden="false" customHeight="true" outlineLevel="0" collapsed="false">
      <c r="A43" s="4" t="s">
        <v>167</v>
      </c>
      <c r="B43" s="4" t="s">
        <v>154</v>
      </c>
      <c r="C43" s="4" t="s">
        <v>50</v>
      </c>
      <c r="D43" s="4" t="s">
        <v>11</v>
      </c>
      <c r="E43" s="4" t="s">
        <v>168</v>
      </c>
      <c r="F43" s="4" t="s">
        <v>13</v>
      </c>
      <c r="G43" s="4" t="s">
        <v>169</v>
      </c>
      <c r="H43" s="4" t="s">
        <v>170</v>
      </c>
    </row>
    <row r="44" customFormat="false" ht="57.75" hidden="false" customHeight="true" outlineLevel="0" collapsed="false">
      <c r="A44" s="4" t="s">
        <v>171</v>
      </c>
      <c r="B44" s="4" t="s">
        <v>154</v>
      </c>
      <c r="C44" s="4" t="s">
        <v>50</v>
      </c>
      <c r="D44" s="4" t="s">
        <v>11</v>
      </c>
      <c r="E44" s="4" t="s">
        <v>172</v>
      </c>
      <c r="F44" s="4" t="s">
        <v>13</v>
      </c>
      <c r="G44" s="4" t="s">
        <v>173</v>
      </c>
      <c r="H44" s="4" t="s">
        <v>174</v>
      </c>
    </row>
    <row r="45" customFormat="false" ht="57.75" hidden="false" customHeight="true" outlineLevel="0" collapsed="false">
      <c r="A45" s="4" t="s">
        <v>175</v>
      </c>
      <c r="B45" s="4" t="s">
        <v>154</v>
      </c>
      <c r="C45" s="4" t="s">
        <v>50</v>
      </c>
      <c r="D45" s="4" t="s">
        <v>30</v>
      </c>
      <c r="E45" s="4" t="s">
        <v>176</v>
      </c>
      <c r="F45" s="4" t="s">
        <v>13</v>
      </c>
      <c r="G45" s="4" t="s">
        <v>177</v>
      </c>
      <c r="H45" s="4" t="s">
        <v>174</v>
      </c>
    </row>
    <row r="46" customFormat="false" ht="57.75" hidden="false" customHeight="true" outlineLevel="0" collapsed="false">
      <c r="A46" s="3" t="s">
        <v>178</v>
      </c>
      <c r="B46" s="3" t="s">
        <v>154</v>
      </c>
      <c r="C46" s="3" t="s">
        <v>29</v>
      </c>
      <c r="D46" s="3" t="s">
        <v>11</v>
      </c>
      <c r="E46" s="3" t="s">
        <v>179</v>
      </c>
      <c r="F46" s="3" t="s">
        <v>13</v>
      </c>
      <c r="G46" s="3" t="s">
        <v>180</v>
      </c>
      <c r="H46" s="3" t="s">
        <v>181</v>
      </c>
    </row>
    <row r="47" customFormat="false" ht="57.75" hidden="false" customHeight="true" outlineLevel="0" collapsed="false">
      <c r="A47" s="3" t="s">
        <v>182</v>
      </c>
      <c r="B47" s="3" t="s">
        <v>154</v>
      </c>
      <c r="C47" s="3" t="s">
        <v>29</v>
      </c>
      <c r="D47" s="3" t="s">
        <v>11</v>
      </c>
      <c r="E47" s="3" t="s">
        <v>183</v>
      </c>
      <c r="F47" s="3" t="s">
        <v>13</v>
      </c>
      <c r="G47" s="3" t="s">
        <v>184</v>
      </c>
      <c r="H47" s="3" t="s">
        <v>181</v>
      </c>
    </row>
    <row r="48" customFormat="false" ht="57.75" hidden="false" customHeight="true" outlineLevel="0" collapsed="false">
      <c r="A48" s="3" t="s">
        <v>185</v>
      </c>
      <c r="B48" s="3" t="s">
        <v>154</v>
      </c>
      <c r="C48" s="3" t="s">
        <v>29</v>
      </c>
      <c r="D48" s="3" t="s">
        <v>11</v>
      </c>
      <c r="E48" s="3" t="s">
        <v>186</v>
      </c>
      <c r="F48" s="3" t="s">
        <v>13</v>
      </c>
      <c r="G48" s="3" t="s">
        <v>187</v>
      </c>
      <c r="H48" s="3" t="s">
        <v>181</v>
      </c>
    </row>
    <row r="49" customFormat="false" ht="57.75" hidden="false" customHeight="true" outlineLevel="0" collapsed="false">
      <c r="A49" s="3" t="s">
        <v>188</v>
      </c>
      <c r="B49" s="3" t="s">
        <v>154</v>
      </c>
      <c r="C49" s="3" t="s">
        <v>29</v>
      </c>
      <c r="D49" s="3" t="s">
        <v>30</v>
      </c>
      <c r="E49" s="3" t="s">
        <v>189</v>
      </c>
      <c r="F49" s="3" t="s">
        <v>13</v>
      </c>
      <c r="G49" s="3" t="s">
        <v>190</v>
      </c>
      <c r="H49" s="3" t="s">
        <v>191</v>
      </c>
    </row>
    <row r="50" customFormat="false" ht="57.75" hidden="false" customHeight="true" outlineLevel="0" collapsed="false">
      <c r="A50" s="3" t="s">
        <v>192</v>
      </c>
      <c r="B50" s="3" t="s">
        <v>154</v>
      </c>
      <c r="C50" s="3" t="s">
        <v>29</v>
      </c>
      <c r="D50" s="3" t="s">
        <v>45</v>
      </c>
      <c r="E50" s="3" t="s">
        <v>193</v>
      </c>
      <c r="F50" s="3" t="s">
        <v>13</v>
      </c>
      <c r="G50" s="3" t="s">
        <v>194</v>
      </c>
      <c r="H50" s="3" t="s">
        <v>195</v>
      </c>
    </row>
    <row r="51" customFormat="false" ht="57.75" hidden="false" customHeight="true" outlineLevel="0" collapsed="false">
      <c r="A51" s="4" t="s">
        <v>196</v>
      </c>
      <c r="B51" s="4" t="s">
        <v>154</v>
      </c>
      <c r="C51" s="4" t="s">
        <v>50</v>
      </c>
      <c r="D51" s="4" t="s">
        <v>30</v>
      </c>
      <c r="E51" s="4" t="s">
        <v>197</v>
      </c>
      <c r="F51" s="4" t="s">
        <v>13</v>
      </c>
      <c r="G51" s="4" t="s">
        <v>198</v>
      </c>
      <c r="H51" s="4" t="s">
        <v>199</v>
      </c>
    </row>
    <row r="52" customFormat="false" ht="57.75" hidden="false" customHeight="true" outlineLevel="0" collapsed="false">
      <c r="A52" s="4" t="s">
        <v>200</v>
      </c>
      <c r="B52" s="4" t="s">
        <v>154</v>
      </c>
      <c r="C52" s="4" t="s">
        <v>50</v>
      </c>
      <c r="D52" s="4" t="s">
        <v>30</v>
      </c>
      <c r="E52" s="4" t="s">
        <v>201</v>
      </c>
      <c r="F52" s="4" t="s">
        <v>13</v>
      </c>
      <c r="G52" s="4" t="s">
        <v>202</v>
      </c>
      <c r="H52" s="4" t="s">
        <v>203</v>
      </c>
    </row>
    <row r="53" customFormat="false" ht="57.75" hidden="false" customHeight="true" outlineLevel="0" collapsed="false">
      <c r="A53" s="4" t="s">
        <v>204</v>
      </c>
      <c r="B53" s="4" t="s">
        <v>154</v>
      </c>
      <c r="C53" s="4" t="s">
        <v>50</v>
      </c>
      <c r="D53" s="4" t="s">
        <v>11</v>
      </c>
      <c r="E53" s="4" t="s">
        <v>205</v>
      </c>
      <c r="F53" s="4" t="s">
        <v>13</v>
      </c>
      <c r="G53" s="4" t="s">
        <v>206</v>
      </c>
      <c r="H53" s="4" t="s">
        <v>57</v>
      </c>
    </row>
    <row r="54" customFormat="false" ht="57.75" hidden="false" customHeight="true" outlineLevel="0" collapsed="false">
      <c r="A54" s="4" t="s">
        <v>207</v>
      </c>
      <c r="B54" s="4" t="s">
        <v>154</v>
      </c>
      <c r="C54" s="4" t="s">
        <v>50</v>
      </c>
      <c r="D54" s="4" t="s">
        <v>11</v>
      </c>
      <c r="E54" s="4" t="s">
        <v>208</v>
      </c>
      <c r="F54" s="4" t="s">
        <v>13</v>
      </c>
      <c r="G54" s="4" t="s">
        <v>209</v>
      </c>
      <c r="H54" s="4" t="s">
        <v>210</v>
      </c>
    </row>
    <row r="55" customFormat="false" ht="57.75" hidden="false" customHeight="true" outlineLevel="0" collapsed="false">
      <c r="A55" s="3" t="s">
        <v>211</v>
      </c>
      <c r="B55" s="3" t="s">
        <v>154</v>
      </c>
      <c r="C55" s="3" t="s">
        <v>29</v>
      </c>
      <c r="D55" s="3" t="s">
        <v>45</v>
      </c>
      <c r="E55" s="3" t="s">
        <v>212</v>
      </c>
      <c r="F55" s="3" t="s">
        <v>13</v>
      </c>
      <c r="G55" s="3" t="s">
        <v>213</v>
      </c>
      <c r="H55" s="3" t="s">
        <v>214</v>
      </c>
    </row>
    <row r="56" customFormat="false" ht="57.75" hidden="false" customHeight="true" outlineLevel="0" collapsed="false">
      <c r="A56" s="3" t="s">
        <v>215</v>
      </c>
      <c r="B56" s="3" t="s">
        <v>216</v>
      </c>
      <c r="C56" s="3" t="s">
        <v>29</v>
      </c>
      <c r="D56" s="3" t="s">
        <v>11</v>
      </c>
      <c r="E56" s="3" t="s">
        <v>217</v>
      </c>
      <c r="F56" s="3" t="s">
        <v>13</v>
      </c>
      <c r="G56" s="3" t="s">
        <v>218</v>
      </c>
      <c r="H56" s="3" t="s">
        <v>219</v>
      </c>
    </row>
    <row r="57" customFormat="false" ht="57.75" hidden="false" customHeight="true" outlineLevel="0" collapsed="false">
      <c r="A57" s="4" t="s">
        <v>220</v>
      </c>
      <c r="B57" s="4" t="s">
        <v>216</v>
      </c>
      <c r="C57" s="4" t="s">
        <v>50</v>
      </c>
      <c r="D57" s="4" t="s">
        <v>11</v>
      </c>
      <c r="E57" s="4" t="s">
        <v>221</v>
      </c>
      <c r="F57" s="4" t="s">
        <v>13</v>
      </c>
      <c r="G57" s="4" t="s">
        <v>222</v>
      </c>
      <c r="H57" s="4" t="s">
        <v>223</v>
      </c>
    </row>
    <row r="58" customFormat="false" ht="57.75" hidden="false" customHeight="true" outlineLevel="0" collapsed="false">
      <c r="A58" s="4" t="s">
        <v>224</v>
      </c>
      <c r="B58" s="4" t="s">
        <v>216</v>
      </c>
      <c r="C58" s="4" t="s">
        <v>50</v>
      </c>
      <c r="D58" s="4" t="s">
        <v>11</v>
      </c>
      <c r="E58" s="4" t="s">
        <v>225</v>
      </c>
      <c r="F58" s="4" t="s">
        <v>13</v>
      </c>
      <c r="G58" s="4" t="s">
        <v>226</v>
      </c>
      <c r="H58" s="4" t="s">
        <v>27</v>
      </c>
    </row>
    <row r="59" customFormat="false" ht="57.75" hidden="false" customHeight="true" outlineLevel="0" collapsed="false">
      <c r="A59" s="4" t="s">
        <v>227</v>
      </c>
      <c r="B59" s="4" t="s">
        <v>216</v>
      </c>
      <c r="C59" s="4" t="s">
        <v>50</v>
      </c>
      <c r="D59" s="4" t="s">
        <v>30</v>
      </c>
      <c r="E59" s="4" t="s">
        <v>228</v>
      </c>
      <c r="F59" s="4" t="s">
        <v>13</v>
      </c>
      <c r="G59" s="4" t="s">
        <v>229</v>
      </c>
      <c r="H59" s="4" t="s">
        <v>230</v>
      </c>
    </row>
    <row r="60" customFormat="false" ht="57.75" hidden="false" customHeight="true" outlineLevel="0" collapsed="false">
      <c r="A60" s="3" t="s">
        <v>231</v>
      </c>
      <c r="B60" s="3" t="s">
        <v>216</v>
      </c>
      <c r="C60" s="3" t="s">
        <v>29</v>
      </c>
      <c r="D60" s="3" t="s">
        <v>45</v>
      </c>
      <c r="E60" s="3" t="s">
        <v>232</v>
      </c>
      <c r="F60" s="3" t="s">
        <v>13</v>
      </c>
      <c r="G60" s="3" t="s">
        <v>233</v>
      </c>
      <c r="H60" s="3" t="s">
        <v>214</v>
      </c>
    </row>
    <row r="61" customFormat="false" ht="57.75" hidden="false" customHeight="true" outlineLevel="0" collapsed="false">
      <c r="A61" s="3" t="s">
        <v>234</v>
      </c>
      <c r="B61" s="3" t="s">
        <v>235</v>
      </c>
      <c r="C61" s="3" t="s">
        <v>29</v>
      </c>
      <c r="D61" s="3" t="s">
        <v>11</v>
      </c>
      <c r="E61" s="3" t="s">
        <v>236</v>
      </c>
      <c r="F61" s="3" t="s">
        <v>13</v>
      </c>
      <c r="G61" s="3" t="s">
        <v>237</v>
      </c>
      <c r="H61" s="3" t="s">
        <v>238</v>
      </c>
    </row>
    <row r="62" customFormat="false" ht="57.75" hidden="false" customHeight="true" outlineLevel="0" collapsed="false">
      <c r="A62" s="3" t="s">
        <v>239</v>
      </c>
      <c r="B62" s="3" t="s">
        <v>235</v>
      </c>
      <c r="C62" s="3" t="s">
        <v>29</v>
      </c>
      <c r="D62" s="3" t="s">
        <v>11</v>
      </c>
      <c r="E62" s="3" t="s">
        <v>240</v>
      </c>
      <c r="F62" s="3" t="s">
        <v>13</v>
      </c>
      <c r="G62" s="3" t="s">
        <v>241</v>
      </c>
      <c r="H62" s="3" t="s">
        <v>238</v>
      </c>
    </row>
    <row r="63" customFormat="false" ht="57.75" hidden="false" customHeight="true" outlineLevel="0" collapsed="false">
      <c r="A63" s="4" t="s">
        <v>242</v>
      </c>
      <c r="B63" s="4" t="s">
        <v>235</v>
      </c>
      <c r="C63" s="4" t="s">
        <v>50</v>
      </c>
      <c r="D63" s="4" t="s">
        <v>30</v>
      </c>
      <c r="E63" s="4" t="s">
        <v>243</v>
      </c>
      <c r="F63" s="4" t="s">
        <v>13</v>
      </c>
      <c r="G63" s="4" t="s">
        <v>244</v>
      </c>
      <c r="H63" s="4" t="s">
        <v>245</v>
      </c>
    </row>
    <row r="64" customFormat="false" ht="57.75" hidden="false" customHeight="true" outlineLevel="0" collapsed="false">
      <c r="A64" s="2" t="s">
        <v>246</v>
      </c>
      <c r="B64" s="2" t="s">
        <v>235</v>
      </c>
      <c r="C64" s="2" t="s">
        <v>10</v>
      </c>
      <c r="D64" s="2" t="s">
        <v>11</v>
      </c>
      <c r="E64" s="2" t="s">
        <v>247</v>
      </c>
      <c r="F64" s="2" t="s">
        <v>13</v>
      </c>
      <c r="G64" s="2" t="s">
        <v>248</v>
      </c>
      <c r="H64" s="2" t="s">
        <v>249</v>
      </c>
    </row>
    <row r="65" customFormat="false" ht="57.75" hidden="false" customHeight="true" outlineLevel="0" collapsed="false">
      <c r="A65" s="4" t="s">
        <v>250</v>
      </c>
      <c r="B65" s="4" t="s">
        <v>235</v>
      </c>
      <c r="C65" s="4" t="s">
        <v>50</v>
      </c>
      <c r="D65" s="4" t="s">
        <v>45</v>
      </c>
      <c r="E65" s="4" t="s">
        <v>251</v>
      </c>
      <c r="F65" s="4" t="s">
        <v>252</v>
      </c>
      <c r="G65" s="4" t="s">
        <v>253</v>
      </c>
      <c r="H65" s="4" t="s">
        <v>254</v>
      </c>
    </row>
  </sheetData>
  <autoFilter ref="A1:H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255</v>
      </c>
      <c r="B1" s="5"/>
    </row>
    <row r="3" customFormat="false" ht="15" hidden="false" customHeight="false" outlineLevel="0" collapsed="false">
      <c r="A3" s="6" t="s">
        <v>256</v>
      </c>
      <c r="B3" s="6" t="s">
        <v>257</v>
      </c>
    </row>
    <row r="4" customFormat="false" ht="15" hidden="false" customHeight="false" outlineLevel="0" collapsed="false">
      <c r="A4" s="7" t="s">
        <v>258</v>
      </c>
      <c r="B4" s="7" t="n">
        <f aca="false">COUNTA('Sign Up Test Cases'!$A$2:$A$65)</f>
        <v>64</v>
      </c>
    </row>
    <row r="5" customFormat="false" ht="15" hidden="false" customHeight="false" outlineLevel="0" collapsed="false">
      <c r="A5" s="7" t="s">
        <v>259</v>
      </c>
      <c r="B5" s="7" t="n">
        <f aca="false">COUNTIF('Sign Up Test Cases'!$B$2:$B$65,"First Name")</f>
        <v>13</v>
      </c>
    </row>
    <row r="6" customFormat="false" ht="15" hidden="false" customHeight="false" outlineLevel="0" collapsed="false">
      <c r="A6" s="7" t="s">
        <v>260</v>
      </c>
      <c r="B6" s="7" t="n">
        <f aca="false">COUNTIF('Sign Up Test Cases'!$B$2:$B$65,"Last Name")</f>
        <v>10</v>
      </c>
    </row>
    <row r="7" customFormat="false" ht="15" hidden="false" customHeight="false" outlineLevel="0" collapsed="false">
      <c r="A7" s="7" t="s">
        <v>261</v>
      </c>
      <c r="B7" s="7" t="n">
        <f aca="false">COUNTIF('Sign Up Test Cases'!$B$2:$B$65,"Mobile Number or Email")</f>
        <v>14</v>
      </c>
    </row>
    <row r="8" customFormat="false" ht="15" hidden="false" customHeight="false" outlineLevel="0" collapsed="false">
      <c r="A8" s="7" t="s">
        <v>262</v>
      </c>
      <c r="B8" s="7" t="n">
        <f aca="false">COUNTIF('Sign Up Test Cases'!$B$2:$B$65,"Password")</f>
        <v>17</v>
      </c>
    </row>
    <row r="9" customFormat="false" ht="15" hidden="false" customHeight="false" outlineLevel="0" collapsed="false">
      <c r="A9" s="7" t="s">
        <v>263</v>
      </c>
      <c r="B9" s="7" t="n">
        <f aca="false">COUNTIF('Sign Up Test Cases'!$B$2:$B$65,"Re-enter Password")</f>
        <v>5</v>
      </c>
    </row>
    <row r="10" customFormat="false" ht="15" hidden="false" customHeight="false" outlineLevel="0" collapsed="false">
      <c r="A10" s="7" t="s">
        <v>264</v>
      </c>
      <c r="B10" s="7" t="n">
        <f aca="false">COUNTIF('Sign Up Test Cases'!$B$2:$B$65,"Full Form")</f>
        <v>5</v>
      </c>
    </row>
    <row r="11" customFormat="false" ht="15" hidden="false" customHeight="false" outlineLevel="0" collapsed="false">
      <c r="A11" s="7" t="s">
        <v>265</v>
      </c>
      <c r="B11" s="7" t="n">
        <f aca="false">COUNTIF('Sign Up Test Cases'!$C$2:$C$65,"Boundary")</f>
        <v>18</v>
      </c>
    </row>
    <row r="12" customFormat="false" ht="15" hidden="false" customHeight="false" outlineLevel="0" collapsed="false">
      <c r="A12" s="7" t="s">
        <v>266</v>
      </c>
      <c r="B12" s="7" t="n">
        <f aca="false">COUNTIF('Sign Up Test Cases'!$C$2:$C$65,"Positive")</f>
        <v>24</v>
      </c>
    </row>
    <row r="13" customFormat="false" ht="15" hidden="false" customHeight="false" outlineLevel="0" collapsed="false">
      <c r="A13" s="7" t="s">
        <v>267</v>
      </c>
      <c r="B13" s="7" t="n">
        <f aca="false">COUNTIF('Sign Up Test Cases'!$C$2:$C$65,"Negative")</f>
        <v>22</v>
      </c>
    </row>
    <row r="16" customFormat="false" ht="15" hidden="false" customHeight="false" outlineLevel="0" collapsed="false">
      <c r="A16" s="8" t="s">
        <v>268</v>
      </c>
    </row>
    <row r="17" customFormat="false" ht="30" hidden="false" customHeight="true" outlineLevel="0" collapsed="false">
      <c r="A17" s="9" t="s">
        <v>269</v>
      </c>
      <c r="B17" s="9"/>
    </row>
    <row r="18" customFormat="false" ht="30" hidden="false" customHeight="true" outlineLevel="0" collapsed="false">
      <c r="A18" s="9" t="s">
        <v>270</v>
      </c>
      <c r="B18" s="9"/>
    </row>
    <row r="19" customFormat="false" ht="30" hidden="false" customHeight="true" outlineLevel="0" collapsed="false">
      <c r="A19" s="9" t="s">
        <v>271</v>
      </c>
      <c r="B19" s="9"/>
    </row>
    <row r="20" customFormat="false" ht="30" hidden="false" customHeight="true" outlineLevel="0" collapsed="false">
      <c r="A20" s="9" t="s">
        <v>272</v>
      </c>
      <c r="B20" s="9"/>
    </row>
    <row r="21" customFormat="false" ht="30" hidden="false" customHeight="true" outlineLevel="0" collapsed="false">
      <c r="A21" s="9" t="s">
        <v>273</v>
      </c>
      <c r="B21" s="9"/>
    </row>
    <row r="22" customFormat="false" ht="30" hidden="false" customHeight="true" outlineLevel="0" collapsed="false">
      <c r="A22" s="9" t="s">
        <v>274</v>
      </c>
      <c r="B22" s="9"/>
    </row>
    <row r="23" customFormat="false" ht="30" hidden="false" customHeight="true" outlineLevel="0" collapsed="false">
      <c r="A23" s="9" t="s">
        <v>275</v>
      </c>
      <c r="B23" s="9"/>
    </row>
    <row r="24" customFormat="false" ht="30" hidden="false" customHeight="true" outlineLevel="0" collapsed="false">
      <c r="A24" s="9" t="s">
        <v>276</v>
      </c>
      <c r="B24" s="9"/>
    </row>
    <row r="27" customFormat="false" ht="15" hidden="false" customHeight="false" outlineLevel="0" collapsed="false">
      <c r="A27" s="8" t="s">
        <v>277</v>
      </c>
    </row>
    <row r="28" customFormat="false" ht="30" hidden="false" customHeight="true" outlineLevel="0" collapsed="false">
      <c r="A28" s="9" t="s">
        <v>278</v>
      </c>
      <c r="B28" s="9"/>
    </row>
    <row r="29" customFormat="false" ht="30" hidden="false" customHeight="true" outlineLevel="0" collapsed="false">
      <c r="A29" s="9" t="s">
        <v>279</v>
      </c>
      <c r="B29" s="9"/>
    </row>
    <row r="30" customFormat="false" ht="30" hidden="false" customHeight="true" outlineLevel="0" collapsed="false">
      <c r="A30" s="9" t="s">
        <v>280</v>
      </c>
      <c r="B30" s="9"/>
    </row>
    <row r="31" customFormat="false" ht="30" hidden="false" customHeight="true" outlineLevel="0" collapsed="false">
      <c r="A31" s="9" t="s">
        <v>281</v>
      </c>
      <c r="B31" s="9"/>
    </row>
    <row r="32" customFormat="false" ht="30" hidden="false" customHeight="true" outlineLevel="0" collapsed="false">
      <c r="A32" s="9" t="s">
        <v>282</v>
      </c>
      <c r="B32" s="9"/>
    </row>
    <row r="33" customFormat="false" ht="30" hidden="false" customHeight="true" outlineLevel="0" collapsed="false">
      <c r="A33" s="9" t="s">
        <v>283</v>
      </c>
      <c r="B33" s="9"/>
    </row>
    <row r="34" customFormat="false" ht="15" hidden="false" customHeight="false" outlineLevel="0" collapsed="false">
      <c r="A34" s="10"/>
      <c r="B34" s="10"/>
    </row>
  </sheetData>
  <mergeCells count="16">
    <mergeCell ref="A1:B1"/>
    <mergeCell ref="A17:B17"/>
    <mergeCell ref="A18:B18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32:B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2026-09-13T06:35:18Z</dcterms:created>
  <dc:creator>openpyxl</dc:creator>
  <dc:description/>
  <dc:language>en-US</dc:language>
  <cp:lastModifiedBy/>
  <dcterms:modified xsi:type="dcterms:W3CDTF">2026-10-08T12:46:09Z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